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DCF Model" sheetId="2" state="visible" r:id="rId4"/>
    <sheet name="Implied Value" sheetId="3" state="visible" r:id="rId5"/>
    <sheet name="Comps - Cloud Capex"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<sst xmlns="http://schemas.openxmlformats.org/spreadsheetml/2006/main" count="106" uniqueCount="103">
  <si>
    <t xml:space="preserve">Microsoft (MSFT) — AI Capex ROI Model</t>
  </si>
  <si>
    <t xml:space="preserve">Simplified DCF &amp; Capex-Efficiency Analysis — data as of Q4 FY2026 (reported July 29, 2026)</t>
  </si>
  <si>
    <t xml:space="preserve">Key Assumptions (editable inputs in yellow)</t>
  </si>
  <si>
    <t xml:space="preserve">Valuation date</t>
  </si>
  <si>
    <t xml:space="preserve">2026-08-18</t>
  </si>
  <si>
    <t xml:space="preserve">Analysis date</t>
  </si>
  <si>
    <t xml:space="preserve">Current share price ($)</t>
  </si>
  <si>
    <t xml:space="preserve">Source: market data, week of Aug 11-18, 2026 (MSFT traded ~$497-507)</t>
  </si>
  <si>
    <t xml:space="preserve">Shares outstanding (mm)</t>
  </si>
  <si>
    <t xml:space="preserve">Source: Q4 FY26 10-Q, diluted shares outstanding</t>
  </si>
  <si>
    <t xml:space="preserve">WACC</t>
  </si>
  <si>
    <t xml:space="preserve">Assumed: risk-free ~4.2% + beta ~0.9 x ERP ~5.3%; mega-cap low-beta discount rate</t>
  </si>
  <si>
    <t xml:space="preserve">Terminal growth rate</t>
  </si>
  <si>
    <t xml:space="preserve">Assumed: long-run nominal GDP-like growth</t>
  </si>
  <si>
    <t xml:space="preserve">Tax rate (effective, normalized)</t>
  </si>
  <si>
    <t xml:space="preserve">Source: MSFT historical effective tax rate ~18-19%</t>
  </si>
  <si>
    <t xml:space="preserve">FY26 Revenue ($mm)</t>
  </si>
  <si>
    <t xml:space="preserve">Source: MSFT FY2026 10-K / Q4 FY26 earnings release, total company revenue</t>
  </si>
  <si>
    <t xml:space="preserve">FY26 Operating income ($mm)</t>
  </si>
  <si>
    <t xml:space="preserve">Source: Q4 FY26 earnings call — FY26 operating income &gt;$155bn, +21% YoY</t>
  </si>
  <si>
    <t xml:space="preserve">FY26 Capex + finance leases ($mm)</t>
  </si>
  <si>
    <t xml:space="preserve">Source: FY26 property &amp; equipment capex, +80% YoY vs FY25 $64.55bn (24/7 Wall St. earnings recap)</t>
  </si>
  <si>
    <t xml:space="preserve">FY25 Capex ($mm)</t>
  </si>
  <si>
    <t xml:space="preserve">Source: FY25 capex per FY26 earnings recap (comparable base)</t>
  </si>
  <si>
    <t xml:space="preserve">Capex as % of revenue, FY26</t>
  </si>
  <si>
    <t xml:space="preserve">Elevated vs historical ~15-20% norm — this is the core debate the model tests</t>
  </si>
  <si>
    <t xml:space="preserve">D&amp;A as % of capex, FY26 (assumed lag)</t>
  </si>
  <si>
    <t xml:space="preserve">Assumption: D&amp;A runs ~55% of same-year capex given multi-year useful life (recently extended to 25 yrs on buildings)</t>
  </si>
  <si>
    <t xml:space="preserve">Azure/cloud revenue growth, Q4 FY26 (cc)</t>
  </si>
  <si>
    <t xml:space="preserve">Source: Q4 FY26 earnings call, Azure revenue growth 43% constant currency</t>
  </si>
  <si>
    <t xml:space="preserve">Intelligent Cloud segment revenue, Q4 FY26 ($mm)</t>
  </si>
  <si>
    <t xml:space="preserve">Source: Q4 FY26 earnings release, Intelligent Cloud segment</t>
  </si>
  <si>
    <t xml:space="preserve">Commercial RPO ($mm)</t>
  </si>
  <si>
    <t xml:space="preserve">Source: Q4 FY26 earnings release, +84% YoY, &gt;2x FY26 revenue</t>
  </si>
  <si>
    <t xml:space="preserve">Note on data quality</t>
  </si>
  <si>
    <t xml:space="preserve">All figures above are drawn from Microsoft's and Amazon's Q4 FY2026 / Q2 2026 public earnings releases and earnings calls (sources noted per line). Forward projections in the DCF tab are this analyst's assumptions built on top of that reported base, not company guidance beyond the one-quarter forward guide Microsoft gave for Q1 FY27.</t>
  </si>
  <si>
    <t xml:space="preserve">Microsoft — Simplified Unlevered DCF (FY2026A–FY2031E)</t>
  </si>
  <si>
    <t xml:space="preserve">($ in millions)</t>
  </si>
  <si>
    <t xml:space="preserve">FY2026A</t>
  </si>
  <si>
    <t xml:space="preserve">FY2027E</t>
  </si>
  <si>
    <t xml:space="preserve">FY2028E</t>
  </si>
  <si>
    <t xml:space="preserve">FY2029E</t>
  </si>
  <si>
    <t xml:space="preserve">FY2030E</t>
  </si>
  <si>
    <t xml:space="preserve">FY2031E</t>
  </si>
  <si>
    <t xml:space="preserve">Revenue growth % (assumption)</t>
  </si>
  <si>
    <t xml:space="preserve">Revenue</t>
  </si>
  <si>
    <t xml:space="preserve">Operating margin % (assumption)</t>
  </si>
  <si>
    <t xml:space="preserve">Operating income (EBIT)</t>
  </si>
  <si>
    <t xml:space="preserve">Less: Cash taxes</t>
  </si>
  <si>
    <t xml:space="preserve">NOPAT (unlevered)</t>
  </si>
  <si>
    <t xml:space="preserve">Capex % of revenue (assumption; normalizing from FY26 peak)</t>
  </si>
  <si>
    <t xml:space="preserve">Capital expenditures</t>
  </si>
  <si>
    <t xml:space="preserve">D&amp;A (% of capex, lagged effect)</t>
  </si>
  <si>
    <t xml:space="preserve">Change in net working capital (assumed ~0)</t>
  </si>
  <si>
    <t xml:space="preserve">Unlevered Free Cash Flow</t>
  </si>
  <si>
    <t xml:space="preserve">Discount period</t>
  </si>
  <si>
    <t xml:space="preserve">Discount factor @ WACC</t>
  </si>
  <si>
    <t xml:space="preserve">PV of FCF</t>
  </si>
  <si>
    <t xml:space="preserve">Terminal value (Gordon Growth, at end of FY31E)</t>
  </si>
  <si>
    <t xml:space="preserve">PV of terminal value</t>
  </si>
  <si>
    <t xml:space="preserve">Sum of PV of explicit FCF (FY27E-FY31E)</t>
  </si>
  <si>
    <t xml:space="preserve">Enterprise Value</t>
  </si>
  <si>
    <t xml:space="preserve">Implied EV / FY26 EBIT multiple</t>
  </si>
  <si>
    <t xml:space="preserve">% of EV from terminal value</t>
  </si>
  <si>
    <t xml:space="preserve">Implied Share Price &amp; Sensitivity</t>
  </si>
  <si>
    <t xml:space="preserve">Enterprise Value ($mm)</t>
  </si>
  <si>
    <t xml:space="preserve">Add: Cash &amp; short-term investments ($mm)</t>
  </si>
  <si>
    <t xml:space="preserve">Source: Q4 FY26 earnings release, cash + STI as of June 30, 2026</t>
  </si>
  <si>
    <t xml:space="preserve">Less: Total debt ($mm)</t>
  </si>
  <si>
    <t xml:space="preserve">Source: Q4 FY26 earnings release, long-term debt incl. current portion</t>
  </si>
  <si>
    <t xml:space="preserve">Equity Value ($mm)</t>
  </si>
  <si>
    <t xml:space="preserve">Implied share price ($)</t>
  </si>
  <si>
    <t xml:space="preserve">Implied upside / (downside)</t>
  </si>
  <si>
    <t xml:space="preserve">Sensitivity: Implied share price vs. WACC and Terminal Growth</t>
  </si>
  <si>
    <t xml:space="preserve">Note: this is a static 2-scenario illustration (base case shown above). A full data table would require Excel's What-If Data Table feature (Ctrl+Alt+F9 iterative calc) which is not reproducible via formula alone here — see the sensitivity chart in the written report for the full WACC x growth grid computed in Python.</t>
  </si>
  <si>
    <t xml:space="preserve">Cloud Capex Efficiency Benchmark — Microsoft (Azure) vs. Amazon (AWS)</t>
  </si>
  <si>
    <t xml:space="preserve">Metric (most recent quarter, Q2/Q4 2026)</t>
  </si>
  <si>
    <t xml:space="preserve">Microsoft (Azure/Intelligent Cloud)</t>
  </si>
  <si>
    <t xml:space="preserve">Amazon (AWS)</t>
  </si>
  <si>
    <t xml:space="preserve">Source</t>
  </si>
  <si>
    <t xml:space="preserve">Cloud segment revenue ($mm, quarterly)</t>
  </si>
  <si>
    <t xml:space="preserve">MSFT Q4 FY26 &amp; AMZN Q2 2026 earnings releases</t>
  </si>
  <si>
    <t xml:space="preserve">Cloud revenue growth YoY</t>
  </si>
  <si>
    <t xml:space="preserve">MSFT Intelligent Cloud +32%; AWS +36.7% (both as reported)</t>
  </si>
  <si>
    <t xml:space="preserve">Cloud constant-currency growth (Azure only)</t>
  </si>
  <si>
    <t xml:space="preserve">n/a</t>
  </si>
  <si>
    <t xml:space="preserve">Azure specifically grew 43% cc per MSFT Q4 FY26 call</t>
  </si>
  <si>
    <t xml:space="preserve">Cloud operating margin</t>
  </si>
  <si>
    <t xml:space="preserve">n/a (segment not fully disclosed)</t>
  </si>
  <si>
    <t xml:space="preserve">AWS margin disclosed at 39.4%, up from 32.9% YoY; MSFT does not break out Azure-only margin</t>
  </si>
  <si>
    <t xml:space="preserve">Company-wide quarterly capex ($mm)</t>
  </si>
  <si>
    <t xml:space="preserve">MSFT capex+finance leases; AMZN cash capex, both Q2/Q4 2026</t>
  </si>
  <si>
    <t xml:space="preserve">Capex YoY growth</t>
  </si>
  <si>
    <t xml:space="preserve">~0.65-0.70 (TTM P&amp;E +64%)</t>
  </si>
  <si>
    <t xml:space="preserve">MSFT +69% YoY; AMZN TTM property &amp; equipment +64% YoY</t>
  </si>
  <si>
    <t xml:space="preserve">Full-year capex guidance ($bn)</t>
  </si>
  <si>
    <t xml:space="preserve">MSFT calendar-2026 capex revised to ~$175bn (from ~$190bn); AMZN raised to ~$220bn (from ~$200bn)</t>
  </si>
  <si>
    <t xml:space="preserve">Contracted backlog / RPO ($bn)</t>
  </si>
  <si>
    <t xml:space="preserve">MSFT commercial RPO +84% YoY; AWS backlog growing triple digits</t>
  </si>
  <si>
    <t xml:space="preserve">Market capitalization ($tn, approx.)</t>
  </si>
  <si>
    <t xml:space="preserve">As of mid-August 2026 market data</t>
  </si>
  <si>
    <t xml:space="preserve">Implied capex intensity (company-wide quarterly capex / quarterly total revenue)</t>
  </si>
  <si>
    <t xml:space="preserve">Denominator: MSFT Q4 FY26 total revenue $90.01bn; AMZN Q2 2026 total revenue $200.6bn</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</si>
</sst>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00"/>
    <numFmt numFmtId="168" formatCode="0.0\x"/>
    <numFmt numFmtId="169" formatCode="#,##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0"/>
      <name val="Cambria"/>
      <family val="0"/>
      <charset val="1"/>
    </font>
    <font>
      <b val="true"/>
      <sz val="11"/>
      <name val="Cambria"/>
      <family val="0"/>
      <charset val="1"/>
    </font>
    <font>
      <sz val="11"/>
      <color rgb="FF000000"/>
      <name val="Cambria"/>
      <family val="0"/>
      <charset val="1"/>
    </font>
    <font>
      <sz val="11"/>
      <color rgb="FF0000FF"/>
      <name val="Cambria"/>
      <family val="0"/>
      <charset val="1"/>
    </font>
    <font>
      <i val="true"/>
      <sz val="9"/>
      <color rgb="FF666666"/>
      <name val="Cambria"/>
      <family val="0"/>
      <charset val="1"/>
    </font>
    <font>
      <i val="true"/>
      <sz val="9"/>
      <name val="Cambria"/>
      <family val="0"/>
      <charset val="1"/>
    </font>
    <font>
      <b val="true"/>
      <sz val="11"/>
      <color rgb="FFFFFFFF"/>
      <name val="Cambria"/>
      <family val="0"/>
      <charset val="1"/>
    </font>
    <font>
      <b val="true"/>
      <sz val="11"/>
      <color rgb="FF0000FF"/>
      <name val="Cambria"/>
      <family val="0"/>
      <charset val="1"/>
    </font>
  </fonts>
  <fills count="5">
    <fill>
      <patternFill patternType="none"/>
    </fill>
    <fill>
      <patternFill patternType="gray125"/>
    </fill>
    <fill>
      <patternFill patternType="solid">
        <fgColor rgb="FFD9E1F2"/>
        <bgColor rgb="FFCCFFFF"/>
      </patternFill>
    </fill>
    <fill>
      <patternFill patternType="solid">
        <fgColor rgb="FFFFFF00"/>
        <bgColor rgb="FFFFFF00"/>
      </patternFill>
    </fill>
    <fill>
      <patternFill patternType="solid">
        <fgColor rgb="FF1F4E78"/>
        <bgColor rgb="FF003366"/>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5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c r="D5" s="6" t="s">
        <v>5</v>
      </c>
    </row>
    <row r="6" customFormat="false" ht="15" hidden="false" customHeight="false" outlineLevel="0" collapsed="false">
      <c r="A6" s="4" t="s">
        <v>6</v>
      </c>
      <c r="B6" s="7" t="n">
        <v>500</v>
      </c>
      <c r="D6" s="6" t="s">
        <v>7</v>
      </c>
    </row>
    <row r="7" customFormat="false" ht="15" hidden="false" customHeight="false" outlineLevel="0" collapsed="false">
      <c r="A7" s="4" t="s">
        <v>8</v>
      </c>
      <c r="B7" s="7" t="n">
        <v>7430</v>
      </c>
      <c r="D7" s="6" t="s">
        <v>9</v>
      </c>
    </row>
    <row r="8" customFormat="false" ht="15" hidden="false" customHeight="false" outlineLevel="0" collapsed="false">
      <c r="A8" s="4" t="s">
        <v>10</v>
      </c>
      <c r="B8" s="8" t="n">
        <v>0.09</v>
      </c>
      <c r="D8" s="6" t="s">
        <v>11</v>
      </c>
    </row>
    <row r="9" customFormat="false" ht="15" hidden="false" customHeight="false" outlineLevel="0" collapsed="false">
      <c r="A9" s="4" t="s">
        <v>12</v>
      </c>
      <c r="B9" s="8" t="n">
        <v>0.035</v>
      </c>
      <c r="D9" s="6" t="s">
        <v>13</v>
      </c>
    </row>
    <row r="10" customFormat="false" ht="15" hidden="false" customHeight="false" outlineLevel="0" collapsed="false">
      <c r="A10" s="4" t="s">
        <v>14</v>
      </c>
      <c r="B10" s="8" t="n">
        <v>0.19</v>
      </c>
      <c r="D10" s="6" t="s">
        <v>15</v>
      </c>
    </row>
    <row r="11" customFormat="false" ht="15" hidden="false" customHeight="false" outlineLevel="0" collapsed="false">
      <c r="A11" s="4" t="s">
        <v>16</v>
      </c>
      <c r="B11" s="7" t="n">
        <v>331840</v>
      </c>
      <c r="D11" s="6" t="s">
        <v>17</v>
      </c>
    </row>
    <row r="12" customFormat="false" ht="15" hidden="false" customHeight="false" outlineLevel="0" collapsed="false">
      <c r="A12" s="4" t="s">
        <v>18</v>
      </c>
      <c r="B12" s="7" t="n">
        <v>155000</v>
      </c>
      <c r="D12" s="6" t="s">
        <v>19</v>
      </c>
    </row>
    <row r="13" customFormat="false" ht="15" hidden="false" customHeight="false" outlineLevel="0" collapsed="false">
      <c r="A13" s="4" t="s">
        <v>20</v>
      </c>
      <c r="B13" s="7" t="n">
        <v>115950</v>
      </c>
      <c r="D13" s="6" t="s">
        <v>21</v>
      </c>
    </row>
    <row r="14" customFormat="false" ht="15" hidden="false" customHeight="false" outlineLevel="0" collapsed="false">
      <c r="A14" s="4" t="s">
        <v>22</v>
      </c>
      <c r="B14" s="7" t="n">
        <v>64550</v>
      </c>
      <c r="D14" s="6" t="s">
        <v>23</v>
      </c>
    </row>
    <row r="15" customFormat="false" ht="15" hidden="false" customHeight="false" outlineLevel="0" collapsed="false">
      <c r="A15" s="4" t="s">
        <v>24</v>
      </c>
      <c r="B15" s="4" t="n">
        <f aca="false">B13/B11</f>
        <v>0.349415380906461</v>
      </c>
      <c r="D15" s="6" t="s">
        <v>25</v>
      </c>
    </row>
    <row r="16" customFormat="false" ht="15" hidden="false" customHeight="false" outlineLevel="0" collapsed="false">
      <c r="A16" s="4" t="s">
        <v>26</v>
      </c>
      <c r="B16" s="8" t="n">
        <v>0.55</v>
      </c>
      <c r="D16" s="6" t="s">
        <v>27</v>
      </c>
    </row>
    <row r="17" customFormat="false" ht="15" hidden="false" customHeight="false" outlineLevel="0" collapsed="false">
      <c r="A17" s="4" t="s">
        <v>28</v>
      </c>
      <c r="B17" s="8" t="n">
        <v>0.43</v>
      </c>
      <c r="D17" s="6" t="s">
        <v>29</v>
      </c>
    </row>
    <row r="18" customFormat="false" ht="15" hidden="false" customHeight="false" outlineLevel="0" collapsed="false">
      <c r="A18" s="4" t="s">
        <v>30</v>
      </c>
      <c r="B18" s="7" t="n">
        <v>39310</v>
      </c>
      <c r="D18" s="6" t="s">
        <v>31</v>
      </c>
    </row>
    <row r="19" customFormat="false" ht="15" hidden="false" customHeight="false" outlineLevel="0" collapsed="false">
      <c r="A19" s="4" t="s">
        <v>32</v>
      </c>
      <c r="B19" s="7" t="n">
        <v>678000</v>
      </c>
      <c r="D19" s="6" t="s">
        <v>33</v>
      </c>
    </row>
    <row r="22" customFormat="false" ht="15" hidden="false" customHeight="false" outlineLevel="0" collapsed="false">
      <c r="A22" s="9" t="s">
        <v>34</v>
      </c>
    </row>
    <row r="23" customFormat="false" ht="42" hidden="false" customHeight="true" outlineLevel="0" collapsed="false">
      <c r="A23" s="10" t="s">
        <v>35</v>
      </c>
      <c r="B23" s="10"/>
      <c r="C23" s="10"/>
      <c r="D23" s="10"/>
    </row>
  </sheetData>
  <mergeCells count="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3"/>
  </cols>
  <sheetData>
    <row r="1" customFormat="false" ht="17.35" hidden="false" customHeight="false" outlineLevel="0" collapsed="false">
      <c r="A1" s="11" t="s">
        <v>36</v>
      </c>
      <c r="B1" s="11"/>
      <c r="C1" s="11"/>
      <c r="D1" s="11"/>
      <c r="E1" s="11"/>
      <c r="F1" s="11"/>
      <c r="G1" s="11"/>
      <c r="H1" s="11"/>
    </row>
    <row r="3" customFormat="false" ht="15" hidden="false" customHeight="false" outlineLevel="0" collapsed="false">
      <c r="A3" s="12" t="s">
        <v>37</v>
      </c>
    </row>
    <row r="4" customFormat="false" ht="15" hidden="false" customHeight="false" outlineLevel="0" collapsed="false">
      <c r="A4" s="13"/>
      <c r="B4" s="14" t="s">
        <v>38</v>
      </c>
      <c r="C4" s="14" t="s">
        <v>39</v>
      </c>
      <c r="D4" s="14" t="s">
        <v>40</v>
      </c>
      <c r="E4" s="14" t="s">
        <v>41</v>
      </c>
      <c r="F4" s="14" t="s">
        <v>42</v>
      </c>
      <c r="G4" s="14" t="s">
        <v>43</v>
      </c>
    </row>
    <row r="5" customFormat="false" ht="15" hidden="false" customHeight="false" outlineLevel="0" collapsed="false">
      <c r="A5" s="13" t="s">
        <v>44</v>
      </c>
      <c r="B5" s="13"/>
      <c r="C5" s="15" t="n">
        <v>0.15</v>
      </c>
      <c r="D5" s="15" t="n">
        <v>0.13</v>
      </c>
      <c r="E5" s="15" t="n">
        <v>0.11</v>
      </c>
      <c r="F5" s="15" t="n">
        <v>0.09</v>
      </c>
      <c r="G5" s="15" t="n">
        <v>0.07</v>
      </c>
    </row>
    <row r="6" customFormat="false" ht="15" hidden="false" customHeight="false" outlineLevel="0" collapsed="false">
      <c r="A6" s="13" t="s">
        <v>45</v>
      </c>
      <c r="B6" s="16" t="n">
        <f aca="false">Assumptions!B11</f>
        <v>331840</v>
      </c>
      <c r="C6" s="16" t="n">
        <f aca="false">B6*(1+C5)</f>
        <v>381616</v>
      </c>
      <c r="D6" s="16" t="n">
        <f aca="false">C6*(1+D5)</f>
        <v>431226.08</v>
      </c>
      <c r="E6" s="16" t="n">
        <f aca="false">D6*(1+E5)</f>
        <v>478660.9488</v>
      </c>
      <c r="F6" s="16" t="n">
        <f aca="false">E6*(1+F5)</f>
        <v>521740.434192</v>
      </c>
      <c r="G6" s="16" t="n">
        <f aca="false">F6*(1+G5)</f>
        <v>558262.26458544</v>
      </c>
    </row>
    <row r="7" customFormat="false" ht="15" hidden="false" customHeight="false" outlineLevel="0" collapsed="false">
      <c r="A7" s="13"/>
      <c r="B7" s="13"/>
      <c r="C7" s="13"/>
      <c r="D7" s="13"/>
      <c r="E7" s="13"/>
      <c r="F7" s="13"/>
      <c r="G7" s="13"/>
    </row>
    <row r="8" customFormat="false" ht="15" hidden="false" customHeight="false" outlineLevel="0" collapsed="false">
      <c r="A8" s="13" t="s">
        <v>46</v>
      </c>
      <c r="B8" s="13"/>
      <c r="C8" s="15" t="n">
        <v>0.44</v>
      </c>
      <c r="D8" s="15" t="n">
        <v>0.45</v>
      </c>
      <c r="E8" s="15" t="n">
        <v>0.46</v>
      </c>
      <c r="F8" s="15" t="n">
        <v>0.465</v>
      </c>
      <c r="G8" s="15" t="n">
        <v>0.47</v>
      </c>
    </row>
    <row r="9" customFormat="false" ht="15" hidden="false" customHeight="false" outlineLevel="0" collapsed="false">
      <c r="A9" s="13" t="s">
        <v>47</v>
      </c>
      <c r="B9" s="16" t="n">
        <f aca="false">Assumptions!B12</f>
        <v>155000</v>
      </c>
      <c r="C9" s="16" t="n">
        <f aca="false">C6*C8</f>
        <v>167911.04</v>
      </c>
      <c r="D9" s="16" t="n">
        <f aca="false">D6*D8</f>
        <v>194051.736</v>
      </c>
      <c r="E9" s="16" t="n">
        <f aca="false">E6*E8</f>
        <v>220184.036448</v>
      </c>
      <c r="F9" s="16" t="n">
        <f aca="false">F6*F8</f>
        <v>242609.30189928</v>
      </c>
      <c r="G9" s="16" t="n">
        <f aca="false">G6*G8</f>
        <v>262383.264355157</v>
      </c>
    </row>
    <row r="10" customFormat="false" ht="15" hidden="false" customHeight="false" outlineLevel="0" collapsed="false">
      <c r="A10" s="13" t="s">
        <v>48</v>
      </c>
      <c r="B10" s="16" t="n">
        <f aca="false">-B9*Assumptions!$B$10</f>
        <v>-29450</v>
      </c>
      <c r="C10" s="16" t="n">
        <f aca="false">-C9*Assumptions!$B$10</f>
        <v>-31903.0976</v>
      </c>
      <c r="D10" s="16" t="n">
        <f aca="false">-D9*Assumptions!$B$10</f>
        <v>-36869.82984</v>
      </c>
      <c r="E10" s="16" t="n">
        <f aca="false">-E9*Assumptions!$B$10</f>
        <v>-41834.96692512</v>
      </c>
      <c r="F10" s="16" t="n">
        <f aca="false">-F9*Assumptions!$B$10</f>
        <v>-46095.7673608632</v>
      </c>
      <c r="G10" s="16" t="n">
        <f aca="false">-G9*Assumptions!$B$10</f>
        <v>-49852.8202274798</v>
      </c>
    </row>
    <row r="11" customFormat="false" ht="15" hidden="false" customHeight="false" outlineLevel="0" collapsed="false">
      <c r="A11" s="13" t="s">
        <v>49</v>
      </c>
      <c r="B11" s="17" t="n">
        <f aca="false">B9+B10</f>
        <v>125550</v>
      </c>
      <c r="C11" s="17" t="n">
        <f aca="false">C9+C10</f>
        <v>136007.9424</v>
      </c>
      <c r="D11" s="17" t="n">
        <f aca="false">D9+D10</f>
        <v>157181.90616</v>
      </c>
      <c r="E11" s="17" t="n">
        <f aca="false">E9+E10</f>
        <v>178349.06952288</v>
      </c>
      <c r="F11" s="17" t="n">
        <f aca="false">F9+F10</f>
        <v>196513.534538417</v>
      </c>
      <c r="G11" s="17" t="n">
        <f aca="false">G9+G10</f>
        <v>212530.444127677</v>
      </c>
    </row>
    <row r="12" customFormat="false" ht="15" hidden="false" customHeight="false" outlineLevel="0" collapsed="false">
      <c r="A12" s="13"/>
      <c r="B12" s="13"/>
      <c r="C12" s="13"/>
      <c r="D12" s="13"/>
      <c r="E12" s="13"/>
      <c r="F12" s="13"/>
      <c r="G12" s="13"/>
    </row>
    <row r="13" customFormat="false" ht="15" hidden="false" customHeight="false" outlineLevel="0" collapsed="false">
      <c r="A13" s="13" t="s">
        <v>50</v>
      </c>
      <c r="B13" s="13"/>
      <c r="C13" s="15" t="n">
        <v>0.3</v>
      </c>
      <c r="D13" s="15" t="n">
        <v>0.26</v>
      </c>
      <c r="E13" s="15" t="n">
        <v>0.23</v>
      </c>
      <c r="F13" s="15" t="n">
        <v>0.21</v>
      </c>
      <c r="G13" s="15" t="n">
        <v>0.2</v>
      </c>
    </row>
    <row r="14" customFormat="false" ht="15" hidden="false" customHeight="false" outlineLevel="0" collapsed="false">
      <c r="A14" s="13" t="s">
        <v>51</v>
      </c>
      <c r="B14" s="16" t="n">
        <f aca="false">-Assumptions!B13</f>
        <v>-115950</v>
      </c>
      <c r="C14" s="16" t="n">
        <f aca="false">-C6*C13</f>
        <v>-114484.8</v>
      </c>
      <c r="D14" s="16" t="n">
        <f aca="false">-D6*D13</f>
        <v>-112118.7808</v>
      </c>
      <c r="E14" s="16" t="n">
        <f aca="false">-E6*E13</f>
        <v>-110092.018224</v>
      </c>
      <c r="F14" s="16" t="n">
        <f aca="false">-F6*F13</f>
        <v>-109565.49118032</v>
      </c>
      <c r="G14" s="16" t="n">
        <f aca="false">-G6*G13</f>
        <v>-111652.452917088</v>
      </c>
    </row>
    <row r="15" customFormat="false" ht="15" hidden="false" customHeight="false" outlineLevel="0" collapsed="false">
      <c r="A15" s="13" t="s">
        <v>52</v>
      </c>
      <c r="B15" s="16" t="n">
        <f aca="false">-B14*Assumptions!$B$16</f>
        <v>63772.5</v>
      </c>
      <c r="C15" s="16" t="n">
        <f aca="false">-C14*Assumptions!$B$16</f>
        <v>62966.64</v>
      </c>
      <c r="D15" s="16" t="n">
        <f aca="false">-D14*Assumptions!$B$16</f>
        <v>61665.32944</v>
      </c>
      <c r="E15" s="16" t="n">
        <f aca="false">-E14*Assumptions!$B$16</f>
        <v>60550.6100232</v>
      </c>
      <c r="F15" s="16" t="n">
        <f aca="false">-F14*Assumptions!$B$16</f>
        <v>60261.020149176</v>
      </c>
      <c r="G15" s="16" t="n">
        <f aca="false">-G14*Assumptions!$B$16</f>
        <v>61408.8491043984</v>
      </c>
    </row>
    <row r="16" customFormat="false" ht="15" hidden="false" customHeight="false" outlineLevel="0" collapsed="false">
      <c r="A16" s="13" t="s">
        <v>53</v>
      </c>
      <c r="B16" s="18" t="n">
        <v>0</v>
      </c>
      <c r="C16" s="18" t="n">
        <v>0</v>
      </c>
      <c r="D16" s="18" t="n">
        <v>0</v>
      </c>
      <c r="E16" s="18" t="n">
        <v>0</v>
      </c>
      <c r="F16" s="18" t="n">
        <v>0</v>
      </c>
      <c r="G16" s="18" t="n">
        <v>0</v>
      </c>
    </row>
    <row r="17" customFormat="false" ht="15" hidden="false" customHeight="false" outlineLevel="0" collapsed="false">
      <c r="A17" s="13"/>
      <c r="B17" s="13"/>
      <c r="C17" s="13"/>
      <c r="D17" s="13"/>
      <c r="E17" s="13"/>
      <c r="F17" s="13"/>
      <c r="G17" s="13"/>
    </row>
    <row r="18" customFormat="false" ht="15" hidden="false" customHeight="false" outlineLevel="0" collapsed="false">
      <c r="A18" s="19" t="s">
        <v>54</v>
      </c>
      <c r="B18" s="17" t="n">
        <f aca="false">B11+B15+B14+B16</f>
        <v>73372.5</v>
      </c>
      <c r="C18" s="17" t="n">
        <f aca="false">C11+C15+C14+C16</f>
        <v>84489.7824</v>
      </c>
      <c r="D18" s="17" t="n">
        <f aca="false">D11+D15+D14+D16</f>
        <v>106728.4548</v>
      </c>
      <c r="E18" s="17" t="n">
        <f aca="false">E11+E15+E14+E16</f>
        <v>128807.66132208</v>
      </c>
      <c r="F18" s="17" t="n">
        <f aca="false">F11+F15+F14+F16</f>
        <v>147209.063507273</v>
      </c>
      <c r="G18" s="17" t="n">
        <f aca="false">G11+G15+G14+G16</f>
        <v>162286.840314987</v>
      </c>
    </row>
    <row r="19" customFormat="false" ht="15" hidden="false" customHeight="false" outlineLevel="0" collapsed="false">
      <c r="A19" s="13"/>
      <c r="B19" s="13"/>
      <c r="C19" s="13"/>
      <c r="D19" s="13"/>
      <c r="E19" s="13"/>
      <c r="F19" s="13"/>
      <c r="G19" s="13"/>
    </row>
    <row r="20" customFormat="false" ht="15" hidden="false" customHeight="false" outlineLevel="0" collapsed="false">
      <c r="A20" s="13" t="s">
        <v>55</v>
      </c>
      <c r="B20" s="13"/>
      <c r="C20" s="13" t="n">
        <v>1</v>
      </c>
      <c r="D20" s="13" t="n">
        <v>2</v>
      </c>
      <c r="E20" s="13" t="n">
        <v>3</v>
      </c>
      <c r="F20" s="13" t="n">
        <v>4</v>
      </c>
      <c r="G20" s="13" t="n">
        <v>5</v>
      </c>
    </row>
    <row r="21" customFormat="false" ht="15" hidden="false" customHeight="false" outlineLevel="0" collapsed="false">
      <c r="A21" s="13" t="s">
        <v>56</v>
      </c>
      <c r="B21" s="13"/>
      <c r="C21" s="20" t="n">
        <f aca="false">1/(1+Assumptions!$B$8)^C20</f>
        <v>0.91743119266055</v>
      </c>
      <c r="D21" s="20" t="n">
        <f aca="false">1/(1+Assumptions!$B$8)^D20</f>
        <v>0.84167999326656</v>
      </c>
      <c r="E21" s="20" t="n">
        <f aca="false">1/(1+Assumptions!$B$8)^E20</f>
        <v>0.772183480061064</v>
      </c>
      <c r="F21" s="20" t="n">
        <f aca="false">1/(1+Assumptions!$B$8)^F20</f>
        <v>0.708425211065196</v>
      </c>
      <c r="G21" s="20" t="n">
        <f aca="false">1/(1+Assumptions!$B$8)^G20</f>
        <v>0.649931386298345</v>
      </c>
    </row>
    <row r="22" customFormat="false" ht="15" hidden="false" customHeight="false" outlineLevel="0" collapsed="false">
      <c r="A22" s="13" t="s">
        <v>57</v>
      </c>
      <c r="B22" s="13"/>
      <c r="C22" s="16" t="n">
        <f aca="false">C18*C21</f>
        <v>77513.5618348624</v>
      </c>
      <c r="D22" s="16" t="n">
        <f aca="false">D18*D21</f>
        <v>89831.2051174143</v>
      </c>
      <c r="E22" s="16" t="n">
        <f aca="false">E18*E21</f>
        <v>99463.1481782107</v>
      </c>
      <c r="F22" s="16" t="n">
        <f aca="false">F18*F21</f>
        <v>104286.61188585</v>
      </c>
      <c r="G22" s="16" t="n">
        <f aca="false">G18*G21</f>
        <v>105475.311103898</v>
      </c>
    </row>
    <row r="23" customFormat="false" ht="15" hidden="false" customHeight="false" outlineLevel="0" collapsed="false">
      <c r="A23" s="13"/>
      <c r="B23" s="13"/>
      <c r="C23" s="13"/>
      <c r="D23" s="13"/>
      <c r="E23" s="13"/>
      <c r="F23" s="13"/>
      <c r="G23" s="13"/>
    </row>
    <row r="24" customFormat="false" ht="15" hidden="false" customHeight="false" outlineLevel="0" collapsed="false">
      <c r="A24" s="13" t="s">
        <v>58</v>
      </c>
      <c r="B24" s="13"/>
      <c r="C24" s="13"/>
      <c r="D24" s="13"/>
      <c r="E24" s="13"/>
      <c r="F24" s="13"/>
      <c r="G24" s="16" t="n">
        <f aca="false">G18*(1+Assumptions!$B$9)/(Assumptions!$B$8-Assumptions!$B$9)</f>
        <v>3053943.26774567</v>
      </c>
    </row>
    <row r="25" customFormat="false" ht="15" hidden="false" customHeight="false" outlineLevel="0" collapsed="false">
      <c r="A25" s="13" t="s">
        <v>59</v>
      </c>
      <c r="B25" s="13"/>
      <c r="C25" s="13"/>
      <c r="D25" s="13"/>
      <c r="E25" s="13"/>
      <c r="F25" s="13"/>
      <c r="G25" s="16" t="n">
        <f aca="false">G24*G21</f>
        <v>1984853.58168244</v>
      </c>
    </row>
    <row r="26" customFormat="false" ht="15" hidden="false" customHeight="false" outlineLevel="0" collapsed="false">
      <c r="A26" s="13"/>
      <c r="B26" s="13"/>
      <c r="C26" s="13"/>
      <c r="D26" s="13"/>
      <c r="E26" s="13"/>
      <c r="F26" s="13"/>
      <c r="G26" s="13"/>
    </row>
    <row r="27" customFormat="false" ht="15" hidden="false" customHeight="false" outlineLevel="0" collapsed="false">
      <c r="A27" s="13" t="s">
        <v>60</v>
      </c>
      <c r="B27" s="16" t="n">
        <f aca="false">SUM(C22:G22)</f>
        <v>476569.838120235</v>
      </c>
      <c r="C27" s="13"/>
      <c r="D27" s="13"/>
      <c r="E27" s="13"/>
      <c r="F27" s="13"/>
      <c r="G27" s="13"/>
    </row>
    <row r="28" customFormat="false" ht="15" hidden="false" customHeight="false" outlineLevel="0" collapsed="false">
      <c r="A28" s="13" t="s">
        <v>59</v>
      </c>
      <c r="B28" s="16" t="n">
        <f aca="false">G25</f>
        <v>1984853.58168244</v>
      </c>
      <c r="C28" s="13"/>
      <c r="D28" s="13"/>
      <c r="E28" s="13"/>
      <c r="F28" s="13"/>
      <c r="G28" s="13"/>
    </row>
    <row r="29" customFormat="false" ht="15" hidden="false" customHeight="false" outlineLevel="0" collapsed="false">
      <c r="A29" s="19" t="s">
        <v>61</v>
      </c>
      <c r="B29" s="17" t="n">
        <f aca="false">B27+B28</f>
        <v>2461423.41980268</v>
      </c>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t="s">
        <v>62</v>
      </c>
      <c r="B31" s="21" t="n">
        <f aca="false">B29/Assumptions!B11</f>
        <v>7.41750066237548</v>
      </c>
      <c r="C31" s="13"/>
      <c r="D31" s="13"/>
      <c r="E31" s="13"/>
      <c r="F31" s="13"/>
      <c r="G31" s="13"/>
    </row>
    <row r="32" customFormat="false" ht="15" hidden="false" customHeight="false" outlineLevel="0" collapsed="false">
      <c r="A32" s="13" t="s">
        <v>63</v>
      </c>
      <c r="B32" s="22" t="n">
        <f aca="false">B28/B29</f>
        <v>0.806384454504606</v>
      </c>
      <c r="C32" s="13"/>
      <c r="D32" s="13"/>
      <c r="E32" s="13"/>
      <c r="F32" s="13"/>
      <c r="G32" s="13"/>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5"/>
  </cols>
  <sheetData>
    <row r="1" customFormat="false" ht="17.35" hidden="false" customHeight="false" outlineLevel="0" collapsed="false">
      <c r="A1" s="1" t="s">
        <v>64</v>
      </c>
    </row>
    <row r="3" customFormat="false" ht="15" hidden="false" customHeight="false" outlineLevel="0" collapsed="false">
      <c r="A3" s="13" t="s">
        <v>65</v>
      </c>
      <c r="B3" s="16" t="n">
        <f aca="false">'DCF Model'!B29</f>
        <v>2461423.41980268</v>
      </c>
    </row>
    <row r="4" customFormat="false" ht="15" hidden="false" customHeight="false" outlineLevel="0" collapsed="false">
      <c r="A4" s="13" t="s">
        <v>66</v>
      </c>
      <c r="B4" s="23" t="n">
        <v>76800</v>
      </c>
      <c r="C4" s="24" t="s">
        <v>67</v>
      </c>
    </row>
    <row r="5" customFormat="false" ht="15" hidden="false" customHeight="false" outlineLevel="0" collapsed="false">
      <c r="A5" s="13" t="s">
        <v>68</v>
      </c>
      <c r="B5" s="23" t="n">
        <v>-31100</v>
      </c>
      <c r="C5" s="24" t="s">
        <v>69</v>
      </c>
    </row>
    <row r="6" customFormat="false" ht="15" hidden="false" customHeight="false" outlineLevel="0" collapsed="false">
      <c r="A6" s="19" t="s">
        <v>70</v>
      </c>
      <c r="B6" s="17" t="n">
        <f aca="false">B3+B4+B5</f>
        <v>2507123.41980268</v>
      </c>
    </row>
    <row r="7" customFormat="false" ht="15" hidden="false" customHeight="false" outlineLevel="0" collapsed="false">
      <c r="A7" s="13"/>
      <c r="B7" s="13"/>
    </row>
    <row r="8" customFormat="false" ht="15" hidden="false" customHeight="false" outlineLevel="0" collapsed="false">
      <c r="A8" s="13" t="s">
        <v>8</v>
      </c>
      <c r="B8" s="25" t="n">
        <f aca="false">Assumptions!B7</f>
        <v>7430</v>
      </c>
    </row>
    <row r="9" customFormat="false" ht="15" hidden="false" customHeight="false" outlineLevel="0" collapsed="false">
      <c r="A9" s="19" t="s">
        <v>71</v>
      </c>
      <c r="B9" s="26" t="n">
        <f aca="false">B6/B8</f>
        <v>337.43249257102</v>
      </c>
    </row>
    <row r="10" customFormat="false" ht="15" hidden="false" customHeight="false" outlineLevel="0" collapsed="false">
      <c r="A10" s="13"/>
      <c r="B10" s="13"/>
    </row>
    <row r="11" customFormat="false" ht="15" hidden="false" customHeight="false" outlineLevel="0" collapsed="false">
      <c r="A11" s="13" t="s">
        <v>6</v>
      </c>
      <c r="B11" s="27" t="n">
        <f aca="false">Assumptions!B6</f>
        <v>500</v>
      </c>
    </row>
    <row r="12" customFormat="false" ht="15" hidden="false" customHeight="false" outlineLevel="0" collapsed="false">
      <c r="A12" s="19" t="s">
        <v>72</v>
      </c>
      <c r="B12" s="28" t="n">
        <f aca="false">B9/B11-1</f>
        <v>-0.32513501485796</v>
      </c>
    </row>
    <row r="15" customFormat="false" ht="15" hidden="false" customHeight="false" outlineLevel="0" collapsed="false">
      <c r="A15" s="3" t="s">
        <v>73</v>
      </c>
    </row>
    <row r="16" customFormat="false" ht="45" hidden="false" customHeight="true" outlineLevel="0" collapsed="false">
      <c r="A16" s="10" t="s">
        <v>74</v>
      </c>
      <c r="B16" s="10"/>
      <c r="C16" s="10"/>
    </row>
  </sheetData>
  <mergeCells count="1">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55"/>
  </cols>
  <sheetData>
    <row r="1" customFormat="false" ht="17.35" hidden="false" customHeight="false" outlineLevel="0" collapsed="false">
      <c r="A1" s="11" t="s">
        <v>75</v>
      </c>
      <c r="B1" s="11"/>
      <c r="C1" s="11"/>
      <c r="D1" s="11"/>
    </row>
    <row r="3" customFormat="false" ht="27.75" hidden="false" customHeight="true" outlineLevel="0" collapsed="false">
      <c r="A3" s="14" t="s">
        <v>76</v>
      </c>
      <c r="B3" s="14" t="s">
        <v>77</v>
      </c>
      <c r="C3" s="14" t="s">
        <v>78</v>
      </c>
      <c r="D3" s="29" t="s">
        <v>79</v>
      </c>
    </row>
    <row r="4" customFormat="false" ht="27.75" hidden="false" customHeight="true" outlineLevel="0" collapsed="false">
      <c r="A4" s="13" t="s">
        <v>80</v>
      </c>
      <c r="B4" s="18" t="n">
        <v>39310</v>
      </c>
      <c r="C4" s="18" t="n">
        <v>42200</v>
      </c>
      <c r="D4" s="30" t="s">
        <v>81</v>
      </c>
    </row>
    <row r="5" customFormat="false" ht="27.75" hidden="false" customHeight="true" outlineLevel="0" collapsed="false">
      <c r="A5" s="13" t="s">
        <v>82</v>
      </c>
      <c r="B5" s="31" t="n">
        <v>0.32</v>
      </c>
      <c r="C5" s="31" t="n">
        <v>0.367</v>
      </c>
      <c r="D5" s="30" t="s">
        <v>83</v>
      </c>
    </row>
    <row r="6" customFormat="false" ht="27.75" hidden="false" customHeight="true" outlineLevel="0" collapsed="false">
      <c r="A6" s="13" t="s">
        <v>84</v>
      </c>
      <c r="B6" s="31" t="n">
        <v>0.43</v>
      </c>
      <c r="C6" s="32" t="s">
        <v>85</v>
      </c>
      <c r="D6" s="30" t="s">
        <v>86</v>
      </c>
    </row>
    <row r="7" customFormat="false" ht="27.75" hidden="false" customHeight="true" outlineLevel="0" collapsed="false">
      <c r="A7" s="13" t="s">
        <v>87</v>
      </c>
      <c r="B7" s="32" t="s">
        <v>88</v>
      </c>
      <c r="C7" s="31" t="n">
        <v>0.394</v>
      </c>
      <c r="D7" s="30" t="s">
        <v>89</v>
      </c>
    </row>
    <row r="8" customFormat="false" ht="27.75" hidden="false" customHeight="true" outlineLevel="0" collapsed="false">
      <c r="A8" s="13" t="s">
        <v>90</v>
      </c>
      <c r="B8" s="18" t="n">
        <v>41000</v>
      </c>
      <c r="C8" s="18" t="n">
        <v>53100</v>
      </c>
      <c r="D8" s="30" t="s">
        <v>91</v>
      </c>
    </row>
    <row r="9" customFormat="false" ht="27.75" hidden="false" customHeight="true" outlineLevel="0" collapsed="false">
      <c r="A9" s="13" t="s">
        <v>92</v>
      </c>
      <c r="B9" s="31" t="n">
        <v>0.69</v>
      </c>
      <c r="C9" s="32" t="s">
        <v>93</v>
      </c>
      <c r="D9" s="30" t="s">
        <v>94</v>
      </c>
    </row>
    <row r="10" customFormat="false" ht="27.75" hidden="false" customHeight="true" outlineLevel="0" collapsed="false">
      <c r="A10" s="13" t="s">
        <v>95</v>
      </c>
      <c r="B10" s="18" t="n">
        <v>175</v>
      </c>
      <c r="C10" s="18" t="n">
        <v>220</v>
      </c>
      <c r="D10" s="30" t="s">
        <v>96</v>
      </c>
    </row>
    <row r="11" customFormat="false" ht="27.75" hidden="false" customHeight="true" outlineLevel="0" collapsed="false">
      <c r="A11" s="13" t="s">
        <v>97</v>
      </c>
      <c r="B11" s="18" t="n">
        <v>678</v>
      </c>
      <c r="C11" s="18" t="n">
        <v>496</v>
      </c>
      <c r="D11" s="30" t="s">
        <v>98</v>
      </c>
    </row>
    <row r="12" customFormat="false" ht="27.75" hidden="false" customHeight="true" outlineLevel="0" collapsed="false">
      <c r="A12" s="13" t="s">
        <v>99</v>
      </c>
      <c r="B12" s="32" t="n">
        <v>3.7</v>
      </c>
      <c r="C12" s="32" t="n">
        <v>2.55</v>
      </c>
      <c r="D12" s="30" t="s">
        <v>100</v>
      </c>
    </row>
    <row r="13" customFormat="false" ht="27.75" hidden="false" customHeight="true" outlineLevel="0" collapsed="false">
      <c r="A13" s="13"/>
      <c r="B13" s="13"/>
      <c r="C13" s="13"/>
    </row>
    <row r="14" customFormat="false" ht="27.75" hidden="false" customHeight="true" outlineLevel="0" collapsed="false">
      <c r="A14" s="19" t="s">
        <v>101</v>
      </c>
      <c r="B14" s="22" t="n">
        <f aca="false">B8/90010</f>
        <v>0.455504943895123</v>
      </c>
      <c r="C14" s="22" t="n">
        <f aca="false">C8/200600</f>
        <v>0.264705882352941</v>
      </c>
      <c r="D14" s="6" t="s">
        <v>102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2026-08-18T08:28:51Z</dcterms:created>
  <dc:creator>openpyxl</dc:creator>
  <dc:description/>
  <dc:language>en-US</dc:language>
  <cp:lastModifiedBy/>
  <dcterms:modified xsi:type="dcterms:W3CDTF">2026-08-18T08:28:51Z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